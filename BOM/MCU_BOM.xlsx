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claudio_capone_studenti_unina_it/Documents/DECS/FINAL PROJECT/MICRO/"/>
    </mc:Choice>
  </mc:AlternateContent>
  <xr:revisionPtr revIDLastSave="245" documentId="11_5C5755BF84DCCEC36C3E1A399931F45B2A7E2811" xr6:coauthVersionLast="47" xr6:coauthVersionMax="47" xr10:uidLastSave="{6348C557-0429-4CF3-A755-8DCB32C97690}"/>
  <bookViews>
    <workbookView xWindow="-120" yWindow="-120" windowWidth="29040" windowHeight="1572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/>
  <c r="A10" i="1"/>
  <c r="A7" i="1"/>
  <c r="A6" i="1"/>
  <c r="A2" i="1"/>
  <c r="A4" i="1"/>
  <c r="A3" i="1"/>
</calcChain>
</file>

<file path=xl/sharedStrings.xml><?xml version="1.0" encoding="utf-8"?>
<sst xmlns="http://schemas.openxmlformats.org/spreadsheetml/2006/main" count="79" uniqueCount="59">
  <si>
    <t>PART NUMBER</t>
  </si>
  <si>
    <t>INFO</t>
  </si>
  <si>
    <t>CATEGORY</t>
  </si>
  <si>
    <t>NAME_PCB</t>
  </si>
  <si>
    <t>VALUE</t>
  </si>
  <si>
    <t>TOLLERANCE</t>
  </si>
  <si>
    <t>MATERIAL</t>
  </si>
  <si>
    <t>QUANTITY</t>
  </si>
  <si>
    <t>SELLER</t>
  </si>
  <si>
    <t>PRICE</t>
  </si>
  <si>
    <t>Microcontroller</t>
  </si>
  <si>
    <t>Microcontreller</t>
  </si>
  <si>
    <t>MCU</t>
  </si>
  <si>
    <t>Mouser</t>
  </si>
  <si>
    <t>2.34 €</t>
  </si>
  <si>
    <t>User button</t>
  </si>
  <si>
    <t>Button</t>
  </si>
  <si>
    <t>BUTTON</t>
  </si>
  <si>
    <t>0.81 €</t>
  </si>
  <si>
    <t>User display</t>
  </si>
  <si>
    <t>Display</t>
  </si>
  <si>
    <t>DISPLAY</t>
  </si>
  <si>
    <t>10.91 €</t>
  </si>
  <si>
    <t>Display capacitor</t>
  </si>
  <si>
    <t>Capacitor</t>
  </si>
  <si>
    <t>C_VOUT_VSS</t>
  </si>
  <si>
    <t>C = 1uF, 16VDC, X7R</t>
  </si>
  <si>
    <t xml:space="preserve">Multilayer Ceramic MLCC </t>
  </si>
  <si>
    <t>0.155 €</t>
  </si>
  <si>
    <t>C_C1+_C1-</t>
  </si>
  <si>
    <t>C = 2.2 uF, 25VDC, X7R</t>
  </si>
  <si>
    <t>0.301 €</t>
  </si>
  <si>
    <t>KAM21BR71H104JM</t>
  </si>
  <si>
    <t>VDD capacitor</t>
  </si>
  <si>
    <t>C1_VDD1, C1_VDD2</t>
  </si>
  <si>
    <t>C=0.1uF, 50VDC, X7R</t>
  </si>
  <si>
    <t>0.172 €</t>
  </si>
  <si>
    <t>GMJ316BB7106KLHT</t>
  </si>
  <si>
    <t>C2_VDD1, C2_VDD2</t>
  </si>
  <si>
    <t>C = 10uF, 35VDC, X7R</t>
  </si>
  <si>
    <t>0.68€</t>
  </si>
  <si>
    <t>Oscillator</t>
  </si>
  <si>
    <t>OSC</t>
  </si>
  <si>
    <t>f=12 MHz, Cload=18 pF, Rs = 50 ohm</t>
  </si>
  <si>
    <t>Crystals</t>
  </si>
  <si>
    <t>0.327 €</t>
  </si>
  <si>
    <t>Oscillator capacitor</t>
  </si>
  <si>
    <t>C1_OSC, C2_OSC</t>
  </si>
  <si>
    <t>C=39 Pf, , 16VDC</t>
  </si>
  <si>
    <t>0.181 €</t>
  </si>
  <si>
    <t>Reset resistor Pull-up resistor</t>
  </si>
  <si>
    <t>Resistor</t>
  </si>
  <si>
    <t>R_RESET, R_PUP</t>
  </si>
  <si>
    <t>R = 10 kOhm</t>
  </si>
  <si>
    <t>Thin Film Resistors SMD</t>
  </si>
  <si>
    <t>0.421 €</t>
  </si>
  <si>
    <t>note: aggiungere nel totale r_pup</t>
  </si>
  <si>
    <t>Capacitor VDD</t>
  </si>
  <si>
    <t>Note: molto vicino al pin VDD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</si>
</sst>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1"/>
      <color rgb="FF000000"/>
      <name val="Aptos Display"/>
      <scheme val="major"/>
    </font>
    <font>
      <b/>
      <i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242424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1" fillId="0" borderId="0" xfId="2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64" fontId="0" fillId="3" borderId="0" xfId="0" applyNumberFormat="1" applyFill="1" applyAlignment="1">
      <alignment horizontal="right" vertical="center" wrapText="1"/>
    </xf>
    <xf numFmtId="0" fontId="4" fillId="2" borderId="3" xfId="0" applyFont="1" applyFill="1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164" fontId="0" fillId="0" borderId="4" xfId="0" applyNumberFormat="1" applyBorder="1" applyAlignment="1">
      <alignment horizontal="righ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right" vertical="center" wrapText="1"/>
    </xf>
  </cellXfs>
  <cellStyles count="3">
    <cellStyle name="Collegamento ipertestuale" xfId="2" builtinId="8"/>
    <cellStyle name="Hyperlink" xfId="1" xr:uid="{00000000-000B-0000-0000-000008000000}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user.it/ProductDetail/TAIYO-YUDEN/GMJ316BB7106KLHT?qs=sGAEpiMZZMsh%252B1woXyUXj4tW%252BQSTJnMaNo0dzvcNfo8%3D" TargetMode="External"/><Relationship Id="rId1" Type="http://schemas.openxmlformats.org/officeDocument/2006/relationships/hyperlink" Target="https://eu.mouser.com/ProductDetail/KYOCERA-AVX/KAM21BR71H104JM?qs=sGAEpiMZZMuMW9TJLBQkXqLYvz3DzaXfcS9olcxY6vM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D21" sqref="D21"/>
    </sheetView>
  </sheetViews>
  <sheetFormatPr defaultRowHeight="15"/>
  <cols>
    <col min="1" max="1" width="28.140625" style="8" bestFit="1" customWidth="1"/>
    <col min="2" max="2" width="30.7109375" style="8" customWidth="1"/>
    <col min="3" max="3" width="15.42578125" style="8" customWidth="1"/>
    <col min="4" max="4" width="40.5703125" style="9" customWidth="1"/>
    <col min="5" max="5" width="33.28515625" style="8" customWidth="1"/>
    <col min="6" max="6" width="12.85546875" style="15" customWidth="1"/>
    <col min="7" max="7" width="23.7109375" style="13" customWidth="1"/>
    <col min="8" max="8" width="11" style="15" customWidth="1"/>
    <col min="9" max="9" width="7.5703125" style="2" bestFit="1" customWidth="1"/>
    <col min="10" max="10" width="12.85546875" style="15" customWidth="1"/>
    <col min="11" max="11" width="7.5703125" style="2" bestFit="1" customWidth="1"/>
    <col min="12" max="12" width="16.85546875" style="2" customWidth="1"/>
    <col min="13" max="16384" width="9.140625" style="2"/>
  </cols>
  <sheetData>
    <row r="1" spans="1:12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12" t="s">
        <v>6</v>
      </c>
      <c r="H1" s="18" t="s">
        <v>7</v>
      </c>
      <c r="I1" s="24" t="s">
        <v>8</v>
      </c>
      <c r="J1" s="25" t="s">
        <v>9</v>
      </c>
      <c r="K1" s="1"/>
    </row>
    <row r="2" spans="1:12">
      <c r="A2" s="7" t="str">
        <f>HYPERLINK("https://www.mouser.it/ProductDetail/NXP-Semiconductors/LPC1313FHN33-0155?qs=vbj%2FKoHZRAjYq%252Bs6tIYz6A%3D%3D","LPC1313FHN33/01,55")</f>
        <v>LPC1313FHN33/01,55</v>
      </c>
      <c r="B2" s="8" t="s">
        <v>10</v>
      </c>
      <c r="C2" s="8" t="s">
        <v>11</v>
      </c>
      <c r="D2" s="9" t="s">
        <v>12</v>
      </c>
      <c r="E2" s="7"/>
      <c r="H2" s="15">
        <v>1</v>
      </c>
      <c r="I2" s="2" t="s">
        <v>13</v>
      </c>
      <c r="J2" s="15" t="s">
        <v>14</v>
      </c>
    </row>
    <row r="3" spans="1:12">
      <c r="A3" s="7" t="str">
        <f>HYPERLINK("https://www.mouser.it/ProductDetail/CK/KSC253J-SP-DELTA-LFG?qs=i8QVZAFTkqRm%252BD28PDm3qw%3D%3D","KSC253J SP DELTA LFG")</f>
        <v>KSC253J SP DELTA LFG</v>
      </c>
      <c r="B3" s="8" t="s">
        <v>15</v>
      </c>
      <c r="C3" s="8" t="s">
        <v>16</v>
      </c>
      <c r="D3" s="9" t="s">
        <v>17</v>
      </c>
      <c r="H3" s="15">
        <v>1</v>
      </c>
      <c r="I3" s="2" t="s">
        <v>13</v>
      </c>
      <c r="J3" s="16" t="s">
        <v>18</v>
      </c>
    </row>
    <row r="4" spans="1:12">
      <c r="A4" s="7" t="str">
        <f>HYPERLINK("https://www.mouser.it/ProductDetail/Newhaven-Display/NHD-C0216CZ-NSW-BBW-3V3?qs=Vb5qD4CGh4k4trYjCGAWUQ%3D%3D","NHD-C0216CZ-NSW-BBW-3V3")</f>
        <v>NHD-C0216CZ-NSW-BBW-3V3</v>
      </c>
      <c r="B4" s="8" t="s">
        <v>19</v>
      </c>
      <c r="C4" s="8" t="s">
        <v>20</v>
      </c>
      <c r="D4" s="9" t="s">
        <v>21</v>
      </c>
      <c r="H4" s="15">
        <v>1</v>
      </c>
      <c r="I4" s="2" t="s">
        <v>13</v>
      </c>
      <c r="J4" s="16" t="s">
        <v>22</v>
      </c>
    </row>
    <row r="5" spans="1:12" s="3" customFormat="1">
      <c r="A5" s="10"/>
      <c r="B5" s="10"/>
      <c r="C5" s="10"/>
      <c r="D5" s="10"/>
      <c r="E5" s="10"/>
      <c r="F5" s="19"/>
      <c r="G5" s="14"/>
      <c r="H5" s="19"/>
      <c r="J5" s="17"/>
    </row>
    <row r="6" spans="1:12">
      <c r="A6" s="7" t="str">
        <f>HYPERLINK("https://www.mouser.it/ProductDetail/KYOCERA-AVX/KGM21AR71C105KU?qs=Jm2GQyTW%2Fbg3m8NW4RQk8Q%3D%3D","KGM21AR71C105KU")</f>
        <v>KGM21AR71C105KU</v>
      </c>
      <c r="B6" s="8" t="s">
        <v>23</v>
      </c>
      <c r="C6" s="8" t="s">
        <v>24</v>
      </c>
      <c r="D6" s="9" t="s">
        <v>25</v>
      </c>
      <c r="E6" s="8" t="s">
        <v>26</v>
      </c>
      <c r="F6" s="20">
        <v>0.1</v>
      </c>
      <c r="G6" s="13" t="s">
        <v>27</v>
      </c>
      <c r="H6" s="15">
        <v>1</v>
      </c>
      <c r="I6" s="2" t="s">
        <v>13</v>
      </c>
      <c r="J6" s="16" t="s">
        <v>28</v>
      </c>
    </row>
    <row r="7" spans="1:12">
      <c r="A7" s="7" t="str">
        <f>HYPERLINK("https://www.mouser.it/ProductDetail/KYOCERA-AVX/KAF21KR71E225KU?qs=Jm2GQyTW%2FbhzfSmMLMbDLw%3D%3D","KAF21KR71E225KU")</f>
        <v>KAF21KR71E225KU</v>
      </c>
      <c r="B7" s="8" t="s">
        <v>23</v>
      </c>
      <c r="C7" s="8" t="s">
        <v>24</v>
      </c>
      <c r="D7" s="9" t="s">
        <v>29</v>
      </c>
      <c r="E7" s="8" t="s">
        <v>30</v>
      </c>
      <c r="F7" s="20">
        <v>0.1</v>
      </c>
      <c r="G7" s="13" t="s">
        <v>27</v>
      </c>
      <c r="H7" s="15">
        <v>1</v>
      </c>
      <c r="I7" s="2" t="s">
        <v>13</v>
      </c>
      <c r="J7" s="16" t="s">
        <v>31</v>
      </c>
    </row>
    <row r="8" spans="1:12">
      <c r="A8" s="11" t="s">
        <v>32</v>
      </c>
      <c r="B8" s="8" t="s">
        <v>33</v>
      </c>
      <c r="C8" s="8" t="s">
        <v>24</v>
      </c>
      <c r="D8" s="9" t="s">
        <v>34</v>
      </c>
      <c r="E8" s="8" t="s">
        <v>35</v>
      </c>
      <c r="F8" s="20">
        <v>0.05</v>
      </c>
      <c r="G8" s="13" t="s">
        <v>27</v>
      </c>
      <c r="H8" s="15">
        <v>2</v>
      </c>
      <c r="I8" s="2" t="s">
        <v>13</v>
      </c>
      <c r="J8" s="22" t="s">
        <v>36</v>
      </c>
    </row>
    <row r="9" spans="1:12">
      <c r="A9" s="11" t="s">
        <v>37</v>
      </c>
      <c r="B9" s="8" t="s">
        <v>33</v>
      </c>
      <c r="C9" s="8" t="s">
        <v>24</v>
      </c>
      <c r="D9" s="9" t="s">
        <v>38</v>
      </c>
      <c r="E9" s="8" t="s">
        <v>39</v>
      </c>
      <c r="F9" s="20">
        <v>0.1</v>
      </c>
      <c r="G9" s="13" t="s">
        <v>27</v>
      </c>
      <c r="H9" s="15">
        <v>2</v>
      </c>
      <c r="I9" s="2" t="s">
        <v>13</v>
      </c>
      <c r="J9" s="15" t="s">
        <v>40</v>
      </c>
    </row>
    <row r="10" spans="1:12" ht="15.75" customHeight="1">
      <c r="A10" s="7" t="str">
        <f>HYPERLINK("https://eu.mouser.com/ProductDetail/ABRACON/ABLS2-12.000MHZ-D4Y-T?qs=LoTOQoUkC8Rn80rn3Dp9%252Bw%3D%3D","ABLS2-12.000MHZ-D4Y-T")</f>
        <v>ABLS2-12.000MHZ-D4Y-T</v>
      </c>
      <c r="B10" s="8" t="s">
        <v>41</v>
      </c>
      <c r="C10" s="8" t="s">
        <v>41</v>
      </c>
      <c r="D10" s="9" t="s">
        <v>42</v>
      </c>
      <c r="E10" s="8" t="s">
        <v>43</v>
      </c>
      <c r="G10" s="13" t="s">
        <v>44</v>
      </c>
      <c r="H10" s="15">
        <v>1</v>
      </c>
      <c r="I10" s="2" t="s">
        <v>13</v>
      </c>
      <c r="J10" s="16" t="s">
        <v>45</v>
      </c>
    </row>
    <row r="11" spans="1:12">
      <c r="A11" s="11" t="str">
        <f>HYPERLINK("https://eu.mouser.com/ProductDetail/KYOCERA-AVX/0805YA390JAT2A?qs=FTSA3t3dCI45dkYBWw0oCA%3D%3D","0805YA390JAT2A")</f>
        <v>0805YA390JAT2A</v>
      </c>
      <c r="B11" s="8" t="s">
        <v>46</v>
      </c>
      <c r="C11" s="8" t="s">
        <v>24</v>
      </c>
      <c r="D11" s="9" t="s">
        <v>47</v>
      </c>
      <c r="E11" s="8" t="s">
        <v>48</v>
      </c>
      <c r="F11" s="20">
        <v>0.05</v>
      </c>
      <c r="G11" s="13" t="s">
        <v>27</v>
      </c>
      <c r="H11" s="15">
        <v>2</v>
      </c>
      <c r="I11" s="2" t="s">
        <v>13</v>
      </c>
      <c r="J11" s="16" t="s">
        <v>49</v>
      </c>
    </row>
    <row r="12" spans="1:12" ht="29.25">
      <c r="A12" s="7" t="str">
        <f>HYPERLINK("https://eu.mouser.com/ProductDetail/Vishay-Beyschlag/MCU0805MD1002BP500?qs=sGAEpiMZZMtlubZbdhIBIKEKYdJGBQLI1J8ils65FzY%3D","MCU0805MD1002BP500")</f>
        <v>MCU0805MD1002BP500</v>
      </c>
      <c r="B12" s="8" t="s">
        <v>50</v>
      </c>
      <c r="C12" s="8" t="s">
        <v>51</v>
      </c>
      <c r="D12" s="9" t="s">
        <v>52</v>
      </c>
      <c r="E12" s="8" t="s">
        <v>53</v>
      </c>
      <c r="F12" s="21">
        <v>1E-3</v>
      </c>
      <c r="G12" s="13" t="s">
        <v>54</v>
      </c>
      <c r="H12" s="15">
        <v>2</v>
      </c>
      <c r="I12" s="2" t="s">
        <v>13</v>
      </c>
      <c r="J12" s="16" t="s">
        <v>55</v>
      </c>
      <c r="L12" s="2" t="s">
        <v>56</v>
      </c>
    </row>
    <row r="14" spans="1:12">
      <c r="J14" s="23">
        <v>16.3</v>
      </c>
    </row>
    <row r="20" spans="11:12" ht="43.5">
      <c r="K20" s="2" t="s">
        <v>57</v>
      </c>
      <c r="L20" s="2" t="s">
        <v>58</v>
      </c>
    </row>
  </sheetData>
  <hyperlinks>
    <hyperlink ref="A8" r:id="rId1" xr:uid="{2D81152A-8D63-4B09-B66A-D67DC5489701}"/>
    <hyperlink ref="A9" r:id="rId2" xr:uid="{95B256B1-99BD-490C-B58A-B1AABC4744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ANNA RUOPPO</cp:lastModifiedBy>
  <cp:revision/>
  <dcterms:created xsi:type="dcterms:W3CDTF">2025-12-03T17:59:07Z</dcterms:created>
  <dcterms:modified xsi:type="dcterms:W3CDTF">2025-12-17T10:28:21Z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2025-12-03T18:00:30Z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818ebe3d-4c0a-422b-ae1a-ec8c72d84e1a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
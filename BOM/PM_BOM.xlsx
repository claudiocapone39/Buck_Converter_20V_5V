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claudio_capone_studenti_unina_it/Documents/DECS/FINAL PROJECT/ANALISI/POWER MANAGEMENT/"/>
    </mc:Choice>
  </mc:AlternateContent>
  <xr:revisionPtr revIDLastSave="672" documentId="11_5C5755BF84DCCEC36C3E1A399931F45B2A7E2811" xr6:coauthVersionLast="47" xr6:coauthVersionMax="47" xr10:uidLastSave="{03BB3ACD-08DE-4D07-ACB7-2051959B6B4E}"/>
  <bookViews>
    <workbookView xWindow="-120" yWindow="-120" windowWidth="29040" windowHeight="1572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</calcChain>
</file>

<file path=xl/sharedStrings.xml><?xml version="1.0" encoding="utf-8"?>
<sst xmlns="http://schemas.openxmlformats.org/spreadsheetml/2006/main" count="147" uniqueCount="105">
  <si>
    <t>PART NUMBER</t>
  </si>
  <si>
    <t>INFO</t>
  </si>
  <si>
    <t>CATEGORY</t>
  </si>
  <si>
    <t>NAME_PCB</t>
  </si>
  <si>
    <t>VALUE</t>
  </si>
  <si>
    <t xml:space="preserve"> N. OUTPUTS</t>
  </si>
  <si>
    <t>MATERIAL</t>
  </si>
  <si>
    <t>QUANTITY</t>
  </si>
  <si>
    <t>PRICE</t>
  </si>
  <si>
    <t>LMR50410XFDBVR</t>
  </si>
  <si>
    <t>Integrated Buck for MCU and display</t>
  </si>
  <si>
    <t>Buck</t>
  </si>
  <si>
    <t>BUCK_MCU</t>
  </si>
  <si>
    <t>Vout=5V, Iout=1A, Vin=10-20V</t>
  </si>
  <si>
    <t>SCH</t>
  </si>
  <si>
    <t>LP38691QSD-5.0/NOPB</t>
  </si>
  <si>
    <t>LDO for Amplifier, Driver, MCU, display</t>
  </si>
  <si>
    <t>LDO</t>
  </si>
  <si>
    <t>LDO_MCU, LDO_DISP, LDO_OPA, LDO_DRIVER</t>
  </si>
  <si>
    <t>Vout=3.3V/9V, Vin=     V, Iout=      A</t>
  </si>
  <si>
    <t>UCC27282D</t>
  </si>
  <si>
    <t>Gate Driver</t>
  </si>
  <si>
    <t>DRIVER</t>
  </si>
  <si>
    <t>Iout=3.5A, Vin=5.5-16V</t>
  </si>
  <si>
    <t>TPS54202DDCR</t>
  </si>
  <si>
    <t>Integrated Buck for Op-Amp and  Driver</t>
  </si>
  <si>
    <t>BUCK_OPA</t>
  </si>
  <si>
    <t>Vout=9V, Iout=2A, Vin=10-20V</t>
  </si>
  <si>
    <t>BUCK_MCU_DISPLAY</t>
  </si>
  <si>
    <t>C1812J475K5RACAUTO</t>
  </si>
  <si>
    <t>Input Capacitor</t>
  </si>
  <si>
    <t>Capacitor</t>
  </si>
  <si>
    <t>C_IN2_BM</t>
  </si>
  <si>
    <t>C=4.7uF, 50VDC</t>
  </si>
  <si>
    <t>0.1 pF</t>
  </si>
  <si>
    <t>Ceramic</t>
  </si>
  <si>
    <t>KAM21BR71H104JM</t>
  </si>
  <si>
    <r>
      <t xml:space="preserve">Input Capacitor and </t>
    </r>
    <r>
      <rPr>
        <strike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ootstrap Capacitor</t>
    </r>
  </si>
  <si>
    <t>C_IN1_BM, C_B_BM</t>
  </si>
  <si>
    <t>C=0.1uF, 50VDC</t>
  </si>
  <si>
    <t>BWVS00505040150M00</t>
  </si>
  <si>
    <t>Output Inductor</t>
  </si>
  <si>
    <t>Inductor</t>
  </si>
  <si>
    <t>L_OUT_BM</t>
  </si>
  <si>
    <t>L=15uH, R=90mOHM</t>
  </si>
  <si>
    <t>RT1206FRE0788K7L</t>
  </si>
  <si>
    <t>Output Resistor</t>
  </si>
  <si>
    <t>Resistor</t>
  </si>
  <si>
    <t>R_OUT1_BM</t>
  </si>
  <si>
    <t>R=88.7kOHM</t>
  </si>
  <si>
    <t>RCA080522K1FKEA</t>
  </si>
  <si>
    <t>R_OUT2_BM</t>
  </si>
  <si>
    <t>R=22.1kOHM</t>
  </si>
  <si>
    <t>LMK316ABJ226KL-T</t>
  </si>
  <si>
    <t>Output Capacitor</t>
  </si>
  <si>
    <t>C_OUT_BM</t>
  </si>
  <si>
    <t>C=22uF, 10VDC, X5R</t>
  </si>
  <si>
    <t>BUCK_OPA_DRIVER</t>
  </si>
  <si>
    <t>C2012X5R1V156M125AC</t>
  </si>
  <si>
    <t>C_IN_BO</t>
  </si>
  <si>
    <t>C=15uF, 35VDC, X5R</t>
  </si>
  <si>
    <t>VJ0402A470FXXCW1BC</t>
  </si>
  <si>
    <t>CFF</t>
  </si>
  <si>
    <t>C=47pF, 25VDC</t>
  </si>
  <si>
    <t>SRP1050WA-120M</t>
  </si>
  <si>
    <t>Outout Inductor</t>
  </si>
  <si>
    <t>L_OUT_BO</t>
  </si>
  <si>
    <t>C=12uF, 8.3A, 24mOHM</t>
  </si>
  <si>
    <t>SFR01MZPJ104</t>
  </si>
  <si>
    <t>R_OUT1_BO</t>
  </si>
  <si>
    <t>R=100kOHM</t>
  </si>
  <si>
    <t>RMCF0402FT7K15</t>
  </si>
  <si>
    <t>R_OUT2_BO</t>
  </si>
  <si>
    <t>R=7.15kOHM</t>
  </si>
  <si>
    <t>KGM31HR51E226KU</t>
  </si>
  <si>
    <t>C_OUT_BO</t>
  </si>
  <si>
    <t>C=22uF, 25VDC, X5R</t>
  </si>
  <si>
    <t>LDO_MCU_DISP</t>
  </si>
  <si>
    <t>RN73H1JTTD1642B25</t>
  </si>
  <si>
    <t>Resistenza R1 feedback</t>
  </si>
  <si>
    <t>R1_LM, R1_DI</t>
  </si>
  <si>
    <t>R=16.4kOhm</t>
  </si>
  <si>
    <t>CRCW040210K0FHEDP</t>
  </si>
  <si>
    <t>Resistenza R2 feedback</t>
  </si>
  <si>
    <t>R2_LM, R2_DI</t>
  </si>
  <si>
    <t>R=10kOhm</t>
  </si>
  <si>
    <t>LDO_OPA_DRIVER</t>
  </si>
  <si>
    <t>7-2176093-0</t>
  </si>
  <si>
    <t>R1_LO, R1_LDR</t>
  </si>
  <si>
    <t>R=54.9kOhm</t>
  </si>
  <si>
    <t>R2_LO, R2_LDR</t>
  </si>
  <si>
    <t>MCASG21GSB7105KTNA01</t>
  </si>
  <si>
    <t>Condensatore input e output per LDOs</t>
  </si>
  <si>
    <t>C_LDO</t>
  </si>
  <si>
    <t>C=1uF, 35VDC, X7R</t>
  </si>
  <si>
    <t>SFR01MZPJ150</t>
  </si>
  <si>
    <t>Resistenza di Gate</t>
  </si>
  <si>
    <t>Reistor</t>
  </si>
  <si>
    <t>R_G</t>
  </si>
  <si>
    <t>15OHM</t>
  </si>
  <si>
    <r>
      <rPr>
        <strike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ootstrap Capacitor</t>
    </r>
  </si>
  <si>
    <t>MLAST105SB5105KFNA01</t>
  </si>
  <si>
    <t>Bypass Capacitor</t>
  </si>
  <si>
    <t>C_BY_D</t>
  </si>
  <si>
    <t>C=1uF, 25VDC, X5R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</si>
</sst>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€-410]_-;\-* #,##0.00\ [$€-410]_-;_-* &quot;-&quot;??\ [$€-410]_-;_-@_-"/>
  </numFmts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u/>
      <sz val="11"/>
      <color rgb="FFFFC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i/>
      <sz val="11"/>
      <color rgb="FF000000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/>
    <xf numFmtId="0" fontId="1" fillId="0" borderId="0" xfId="1"/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left" vertical="top"/>
    </xf>
    <xf numFmtId="9" fontId="0" fillId="0" borderId="0" xfId="0" applyNumberFormat="1"/>
    <xf numFmtId="49" fontId="1" fillId="0" borderId="0" xfId="1" applyNumberFormat="1" applyAlignment="1">
      <alignment horizontal="left" vertical="top" wrapText="1"/>
    </xf>
    <xf numFmtId="49" fontId="1" fillId="0" borderId="0" xfId="1" applyNumberFormat="1" applyAlignment="1">
      <alignment horizontal="left" vertical="top"/>
    </xf>
    <xf numFmtId="49" fontId="1" fillId="0" borderId="0" xfId="1" applyNumberFormat="1"/>
    <xf numFmtId="49" fontId="0" fillId="0" borderId="0" xfId="0" applyNumberFormat="1"/>
    <xf numFmtId="10" fontId="0" fillId="0" borderId="0" xfId="0" applyNumberFormat="1"/>
    <xf numFmtId="0" fontId="1" fillId="0" borderId="0" xfId="1" applyAlignment="1">
      <alignment wrapText="1"/>
    </xf>
    <xf numFmtId="164" fontId="0" fillId="0" borderId="0" xfId="0" applyNumberFormat="1"/>
    <xf numFmtId="164" fontId="4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6" fillId="3" borderId="0" xfId="1" applyNumberFormat="1" applyFont="1" applyFill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165" fontId="7" fillId="3" borderId="0" xfId="0" applyNumberFormat="1" applyFont="1" applyFill="1"/>
    <xf numFmtId="0" fontId="0" fillId="0" borderId="0" xfId="0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right"/>
    </xf>
    <xf numFmtId="49" fontId="0" fillId="0" borderId="0" xfId="1" applyNumberFormat="1" applyFont="1"/>
    <xf numFmtId="49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49" fontId="1" fillId="0" borderId="0" xfId="1" applyNumberFormat="1" applyAlignment="1">
      <alignment wrapText="1"/>
    </xf>
    <xf numFmtId="49" fontId="8" fillId="2" borderId="1" xfId="0" applyNumberFormat="1" applyFont="1" applyFill="1" applyBorder="1" applyAlignment="1">
      <alignment horizontal="left"/>
    </xf>
    <xf numFmtId="164" fontId="0" fillId="0" borderId="4" xfId="0" applyNumberFormat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it/ProductDetail/KOA-Speer/RN73H1JTTD1642B25?qs=0hon8nwgHrbKEygnGoXdJw%3D%3D&amp;utm_source=octopart&amp;utm_medium=aggregator&amp;utm_campaign=660-RN73H1JTD1642B25&amp;utm_content=KOA+Speer&amp;_gl=1*jc3jom*_ga*dW5kZWZpbmVk*_ga_15W4STQT4T*dW5kZWZpbmVk*_ga_1KQLCYKRX3*dW5kZWZpbmVk" TargetMode="External"/><Relationship Id="rId13" Type="http://schemas.openxmlformats.org/officeDocument/2006/relationships/hyperlink" Target="https://www.mouser.it/ProductDetail/Vishay/CRCW040210K0FHEDP?qs=sGAEpiMZZMtlubZbdhIBIIjtErb0OzfHXC2ctQbbyhM%3D" TargetMode="External"/><Relationship Id="rId18" Type="http://schemas.openxmlformats.org/officeDocument/2006/relationships/hyperlink" Target="https://www.mouser.it/ProductDetail/ROHM-Semiconductor/SFR01MZPJ104?qs=sGAEpiMZZMtlubZbdhIBIIR71ikvQRXLTlcO%2FJ%252BUdZQ%3D" TargetMode="External"/><Relationship Id="rId26" Type="http://schemas.openxmlformats.org/officeDocument/2006/relationships/hyperlink" Target="https://webench.ti.com/power-designer/switching-regulator/customize/21" TargetMode="External"/><Relationship Id="rId3" Type="http://schemas.openxmlformats.org/officeDocument/2006/relationships/hyperlink" Target="https://www.mouser.it/ProductDetail/Pulse-Electronics/BWVS00505040150M00?qs=DRkmTr78QARhg29ditvGew%3D%3D" TargetMode="External"/><Relationship Id="rId21" Type="http://schemas.openxmlformats.org/officeDocument/2006/relationships/hyperlink" Target="https://eu.mouser.com/ProductDetail/Texas-Instruments/UCC27282D?qs=DPoM0jnrROW6sRtyAEghOw%3D%3D&amp;utm_source=octopart&amp;utm_medium=aggregator&amp;utm_campaign=595-UCC27282D&amp;utm_content=Texas%20Instruments" TargetMode="External"/><Relationship Id="rId7" Type="http://schemas.openxmlformats.org/officeDocument/2006/relationships/hyperlink" Target="https://www.mouser.it/ProductDetail/Bourns/SRP1050WA-120M?qs=sGAEpiMZZMv126LJFLh8y%2FJ75n8E1mNFljAVZQy4niQ%3D" TargetMode="External"/><Relationship Id="rId12" Type="http://schemas.openxmlformats.org/officeDocument/2006/relationships/hyperlink" Target="https://www.mouser.it/ProductDetail/Vishay/CRCW040210K0FHEDP?qs=sGAEpiMZZMtlubZbdhIBIIjtErb0OzfHXC2ctQbbyhM%3D" TargetMode="External"/><Relationship Id="rId17" Type="http://schemas.openxmlformats.org/officeDocument/2006/relationships/hyperlink" Target="https://www.mouser.it/ProductDetail/Vishay-Vitramon/VJ0402A470FXXCW1BC?qs=sGAEpiMZZMsh%252B1woXyUXj%2FOET6HiJynz995HKfkQMqo%3D" TargetMode="External"/><Relationship Id="rId25" Type="http://schemas.openxmlformats.org/officeDocument/2006/relationships/hyperlink" Target="https://www.mouser.it/ProductDetail/Texas-Instruments/TPS54202DDCR?qs=uP22XH7NdCsJtN%2Fq54jCtQ%3D%3D" TargetMode="External"/><Relationship Id="rId2" Type="http://schemas.openxmlformats.org/officeDocument/2006/relationships/hyperlink" Target="https://www.mouser.it/ProductDetail/KYOCERA-AVX/KAM21BR71H104JM?qs=sGAEpiMZZMsh%252B1woXyUXj17cMikWvs6%2FWpTcsakq5T0%3D" TargetMode="External"/><Relationship Id="rId16" Type="http://schemas.openxmlformats.org/officeDocument/2006/relationships/hyperlink" Target="https://www.mouser.it/ProductDetail/KYOCERA-AVX/KGM31HR51E226KU?qs=Jm2GQyTW%2FbjbfK4ZSMtgGw%3D%3D" TargetMode="External"/><Relationship Id="rId20" Type="http://schemas.openxmlformats.org/officeDocument/2006/relationships/hyperlink" Target="https://www.mouser.it/ProductDetail/TDK/C2012X5R1V156M125AC?qs=sGAEpiMZZMsh%252B1woXyUXj9l5PHLyix2VxTqN%252BeYfHvA%3D" TargetMode="External"/><Relationship Id="rId1" Type="http://schemas.openxmlformats.org/officeDocument/2006/relationships/hyperlink" Target="https://www.ti.com/product/LMR50410/part-details/LMR50410XFDBVR" TargetMode="External"/><Relationship Id="rId6" Type="http://schemas.openxmlformats.org/officeDocument/2006/relationships/hyperlink" Target="https://www.mouser.it/ProductDetail/TAIYO-YUDEN/LMK316ABJ226KL-T?qs=vF%252B8ahGVilev%2F2scpOQ9dg%3D%3D" TargetMode="External"/><Relationship Id="rId11" Type="http://schemas.openxmlformats.org/officeDocument/2006/relationships/hyperlink" Target="https://www.mouser.it/ProductDetail/KEMET/C1812J475K5RACAUTO?qs=1Kr7Jg1SGW%252B18uJQlTRv8w%3D%3D" TargetMode="External"/><Relationship Id="rId24" Type="http://schemas.openxmlformats.org/officeDocument/2006/relationships/hyperlink" Target="https://www.mouser.it/ProductDetail/TAIYO-YUDEN/MLAST105SB5105KFNA01?qs=sGAEpiMZZMsh%252B1woXyUXj3XUfju0vRpjaQnHZ5Cs2Y0%3D" TargetMode="External"/><Relationship Id="rId5" Type="http://schemas.openxmlformats.org/officeDocument/2006/relationships/hyperlink" Target="https://www.mouser.it/ProductDetail/Vishay-Draloric/RCA080522K1FKEA?qs=sGAEpiMZZMtlubZbdhIBIET5B6pW9if%252BJzBh0PKmnqo%3D" TargetMode="External"/><Relationship Id="rId15" Type="http://schemas.openxmlformats.org/officeDocument/2006/relationships/hyperlink" Target="https://www.mouser.it/ProductDetail/TAIYO-YUDEN/MCASG21GSB7105KTNA01?qs=tlsG%2FOw5FFhIRV3mRKoR1g%3D%3D" TargetMode="External"/><Relationship Id="rId23" Type="http://schemas.openxmlformats.org/officeDocument/2006/relationships/hyperlink" Target="https://www.mouser.it/ProductDetail/KYOCERA-AVX/KAM21BR71H104JM?qs=sGAEpiMZZMsh%252B1woXyUXj17cMikWvs6%2FWpTcsakq5T0%3D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mouser.it/ProductDetail/Texas-Instruments/LP38691QSD-5.0-NOPB?qs=cN01o9PeIQsdGkeHuXf4aA%3D%3D&amp;utm_source=octopart&amp;utm_medium=aggregator&amp;utm_campaign=926LP38691QSD5.0NOPB&amp;utm_content=Texas%20Instruments" TargetMode="External"/><Relationship Id="rId19" Type="http://schemas.openxmlformats.org/officeDocument/2006/relationships/hyperlink" Target="https://www.mouser.it/ProductDetail/SEI-Stackpole/RMCF0402FT7K15?qs=sGAEpiMZZMtlubZbdhIBIFtUjlT065ui70rGY5%2FZthM%3D" TargetMode="External"/><Relationship Id="rId4" Type="http://schemas.openxmlformats.org/officeDocument/2006/relationships/hyperlink" Target="https://www.mouser.it/ProductDetail/YAGEO/RT1206FRE0788K7L?qs=sGAEpiMZZMtlubZbdhIBIAik%252Bt0yKDKe%2FHiXQszQI5M%3D" TargetMode="External"/><Relationship Id="rId9" Type="http://schemas.openxmlformats.org/officeDocument/2006/relationships/hyperlink" Target="https://www.mouser.it/ProductDetail/Texas-Instruments/LP38691QSD-5.0-NOPB?qs=cN01o9PeIQsdGkeHuXf4aA%3D%3D&amp;utm_source=octopart&amp;utm_medium=aggregator&amp;utm_campaign=926LP38691QSD5.0NOPB&amp;utm_content=Texas%20Instruments" TargetMode="External"/><Relationship Id="rId14" Type="http://schemas.openxmlformats.org/officeDocument/2006/relationships/hyperlink" Target="https://www.mouser.it/ProductDetail/TE-Connectivity-Holsworthy/7-2176093-0?qs=aCf%252BRoEN5JMAJ5oW5HKUlg%3D%3D&amp;utm_source=octopart&amp;utm_medium=aggregator&amp;utm_campaign=279-7-2176093-0&amp;utm_content=TE+Connectivity" TargetMode="External"/><Relationship Id="rId22" Type="http://schemas.openxmlformats.org/officeDocument/2006/relationships/hyperlink" Target="https://www.mouser.it/ProductDetail/ROHM-Semiconductor/SFR01MZPJ150?qs=sGAEpiMZZMtlubZbdhIBIK8AeiPKd8jInqcekMsVc3I%3D" TargetMode="External"/><Relationship Id="rId27" Type="http://schemas.openxmlformats.org/officeDocument/2006/relationships/hyperlink" Target="https://webench.ti.com/power-designer/switching-regulator/customize/22?VinMin=10&amp;VinMax=20&amp;O1V=5&amp;O1I=1&amp;base_pn=LMR50410X&amp;AppType=None&amp;Flavor=None&amp;op_TA=30&amp;origin=pf_panel&amp;lang_chosen=en-US&amp;optfactor=3&amp;Topology=Buck&amp;flavor=None&amp;VoltageOption=N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7"/>
  <sheetViews>
    <sheetView tabSelected="1" topLeftCell="A17" workbookViewId="0">
      <selection activeCell="B32" sqref="B32"/>
    </sheetView>
  </sheetViews>
  <sheetFormatPr defaultRowHeight="15"/>
  <cols>
    <col min="1" max="1" width="23.85546875" style="16" customWidth="1"/>
    <col min="2" max="2" width="33.85546875" customWidth="1"/>
    <col min="3" max="3" width="14.140625" customWidth="1"/>
    <col min="4" max="4" width="39.5703125" customWidth="1"/>
    <col min="5" max="5" width="31" customWidth="1"/>
    <col min="6" max="6" width="12.7109375" customWidth="1"/>
    <col min="7" max="7" width="10.85546875" customWidth="1"/>
    <col min="9" max="9" width="14.140625" customWidth="1"/>
  </cols>
  <sheetData>
    <row r="1" spans="1:10">
      <c r="A1" s="34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spans="1:10">
      <c r="A2" s="13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21">
        <v>1</v>
      </c>
      <c r="G2" s="5"/>
      <c r="H2" s="26">
        <v>1</v>
      </c>
      <c r="I2" s="10">
        <v>1.1000000000000001</v>
      </c>
      <c r="J2" s="9" t="s">
        <v>14</v>
      </c>
    </row>
    <row r="3" spans="1:10">
      <c r="A3" s="13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21">
        <v>4</v>
      </c>
      <c r="G3" s="5"/>
      <c r="H3" s="26">
        <v>2</v>
      </c>
      <c r="I3" s="6">
        <v>1.91</v>
      </c>
    </row>
    <row r="4" spans="1:10">
      <c r="A4" s="14" t="s">
        <v>20</v>
      </c>
      <c r="B4" s="5" t="s">
        <v>21</v>
      </c>
      <c r="C4" s="5" t="s">
        <v>21</v>
      </c>
      <c r="D4" s="5" t="s">
        <v>22</v>
      </c>
      <c r="E4" s="5" t="s">
        <v>23</v>
      </c>
      <c r="F4" s="21">
        <v>1</v>
      </c>
      <c r="G4" s="5"/>
      <c r="H4" s="26">
        <v>1</v>
      </c>
      <c r="I4" s="19">
        <v>1.65</v>
      </c>
    </row>
    <row r="5" spans="1:10">
      <c r="A5" s="9" t="s">
        <v>24</v>
      </c>
      <c r="B5" s="5" t="s">
        <v>25</v>
      </c>
      <c r="C5" s="5" t="s">
        <v>11</v>
      </c>
      <c r="D5" s="5" t="s">
        <v>26</v>
      </c>
      <c r="E5" t="s">
        <v>27</v>
      </c>
      <c r="F5">
        <v>1</v>
      </c>
      <c r="H5" s="21">
        <v>1</v>
      </c>
      <c r="I5" s="8">
        <v>1</v>
      </c>
      <c r="J5" s="9" t="s">
        <v>14</v>
      </c>
    </row>
    <row r="6" spans="1:10">
      <c r="A6" s="22"/>
      <c r="B6" s="23"/>
      <c r="C6" s="23"/>
      <c r="D6" s="23"/>
      <c r="E6" s="23"/>
      <c r="F6" s="23"/>
      <c r="G6" s="23"/>
      <c r="H6" s="24"/>
      <c r="I6" s="25"/>
    </row>
    <row r="7" spans="1:10">
      <c r="A7" s="5" t="s">
        <v>28</v>
      </c>
      <c r="C7" s="5"/>
      <c r="D7" s="9"/>
      <c r="H7" s="7"/>
      <c r="I7" s="8"/>
    </row>
    <row r="8" spans="1:10">
      <c r="A8" s="13" t="s">
        <v>29</v>
      </c>
      <c r="B8" s="11" t="s">
        <v>30</v>
      </c>
      <c r="C8" s="11" t="s">
        <v>31</v>
      </c>
      <c r="D8" s="11" t="s">
        <v>32</v>
      </c>
      <c r="E8" s="11" t="s">
        <v>33</v>
      </c>
      <c r="F8" s="28" t="s">
        <v>34</v>
      </c>
      <c r="G8" s="11" t="s">
        <v>35</v>
      </c>
      <c r="H8" s="27">
        <v>1</v>
      </c>
      <c r="I8" s="20">
        <v>1.47</v>
      </c>
    </row>
    <row r="9" spans="1:10">
      <c r="A9" s="15" t="s">
        <v>36</v>
      </c>
      <c r="B9" t="s">
        <v>37</v>
      </c>
      <c r="C9" t="s">
        <v>31</v>
      </c>
      <c r="D9" t="s">
        <v>38</v>
      </c>
      <c r="E9" t="s">
        <v>39</v>
      </c>
      <c r="F9" s="12">
        <v>0.05</v>
      </c>
      <c r="G9" t="s">
        <v>35</v>
      </c>
      <c r="H9">
        <v>2</v>
      </c>
      <c r="I9" s="19">
        <v>0.17</v>
      </c>
    </row>
    <row r="10" spans="1:10">
      <c r="A10" s="15" t="s">
        <v>40</v>
      </c>
      <c r="B10" t="s">
        <v>41</v>
      </c>
      <c r="C10" t="s">
        <v>42</v>
      </c>
      <c r="D10" t="s">
        <v>43</v>
      </c>
      <c r="E10" t="s">
        <v>44</v>
      </c>
      <c r="F10" s="12">
        <v>0.2</v>
      </c>
      <c r="H10">
        <v>1</v>
      </c>
      <c r="I10" s="19">
        <v>0.28000000000000003</v>
      </c>
    </row>
    <row r="11" spans="1:10">
      <c r="A11" s="15" t="s">
        <v>45</v>
      </c>
      <c r="B11" t="s">
        <v>46</v>
      </c>
      <c r="C11" t="s">
        <v>47</v>
      </c>
      <c r="D11" t="s">
        <v>48</v>
      </c>
      <c r="E11" t="s">
        <v>49</v>
      </c>
      <c r="F11" s="12">
        <v>0.01</v>
      </c>
      <c r="H11">
        <v>1</v>
      </c>
      <c r="I11" s="19">
        <v>0.13800000000000001</v>
      </c>
    </row>
    <row r="12" spans="1:10">
      <c r="A12" s="15" t="s">
        <v>50</v>
      </c>
      <c r="B12" t="s">
        <v>46</v>
      </c>
      <c r="C12" t="s">
        <v>47</v>
      </c>
      <c r="D12" t="s">
        <v>51</v>
      </c>
      <c r="E12" t="s">
        <v>52</v>
      </c>
      <c r="F12" s="12">
        <v>0.01</v>
      </c>
      <c r="H12">
        <v>1</v>
      </c>
      <c r="I12" s="19">
        <v>0.12</v>
      </c>
    </row>
    <row r="13" spans="1:10">
      <c r="A13" s="15" t="s">
        <v>53</v>
      </c>
      <c r="B13" t="s">
        <v>54</v>
      </c>
      <c r="C13" t="s">
        <v>31</v>
      </c>
      <c r="D13" t="s">
        <v>55</v>
      </c>
      <c r="E13" t="s">
        <v>56</v>
      </c>
      <c r="G13" t="s">
        <v>35</v>
      </c>
      <c r="H13">
        <v>1</v>
      </c>
      <c r="I13" s="19">
        <v>0.3</v>
      </c>
    </row>
    <row r="14" spans="1:10">
      <c r="A14" s="30"/>
      <c r="B14" s="31"/>
      <c r="C14" s="31"/>
      <c r="D14" s="31"/>
      <c r="E14" s="31"/>
      <c r="F14" s="31"/>
      <c r="G14" s="31"/>
      <c r="H14" s="31"/>
      <c r="I14" s="32"/>
    </row>
    <row r="15" spans="1:10">
      <c r="A15" t="s">
        <v>57</v>
      </c>
      <c r="I15" s="19"/>
    </row>
    <row r="16" spans="1:10">
      <c r="A16" s="15" t="s">
        <v>58</v>
      </c>
      <c r="B16" t="s">
        <v>30</v>
      </c>
      <c r="C16" t="s">
        <v>31</v>
      </c>
      <c r="D16" t="s">
        <v>59</v>
      </c>
      <c r="E16" t="s">
        <v>60</v>
      </c>
      <c r="F16" s="12">
        <v>0.1</v>
      </c>
      <c r="G16" t="s">
        <v>35</v>
      </c>
      <c r="H16">
        <v>1</v>
      </c>
      <c r="I16" s="19">
        <v>0.68</v>
      </c>
    </row>
    <row r="17" spans="1:9">
      <c r="A17" s="15" t="s">
        <v>61</v>
      </c>
      <c r="B17" t="s">
        <v>62</v>
      </c>
      <c r="C17" t="s">
        <v>31</v>
      </c>
      <c r="D17" t="s">
        <v>62</v>
      </c>
      <c r="E17" t="s">
        <v>63</v>
      </c>
      <c r="F17" s="12">
        <v>0.01</v>
      </c>
      <c r="G17" t="s">
        <v>35</v>
      </c>
      <c r="H17">
        <v>1</v>
      </c>
      <c r="I17" s="19">
        <v>0.17</v>
      </c>
    </row>
    <row r="18" spans="1:9">
      <c r="A18" s="15" t="s">
        <v>64</v>
      </c>
      <c r="B18" t="s">
        <v>65</v>
      </c>
      <c r="C18" t="s">
        <v>42</v>
      </c>
      <c r="D18" t="s">
        <v>66</v>
      </c>
      <c r="E18" t="s">
        <v>67</v>
      </c>
      <c r="F18" s="12">
        <v>0.2</v>
      </c>
      <c r="H18">
        <v>1</v>
      </c>
      <c r="I18" s="19">
        <v>0.97</v>
      </c>
    </row>
    <row r="19" spans="1:9">
      <c r="A19" s="15" t="s">
        <v>68</v>
      </c>
      <c r="B19" t="s">
        <v>46</v>
      </c>
      <c r="C19" t="s">
        <v>47</v>
      </c>
      <c r="D19" t="s">
        <v>69</v>
      </c>
      <c r="E19" t="s">
        <v>70</v>
      </c>
      <c r="F19" s="17">
        <v>0.05</v>
      </c>
      <c r="H19">
        <v>1</v>
      </c>
      <c r="I19" s="19">
        <v>0.11</v>
      </c>
    </row>
    <row r="20" spans="1:9">
      <c r="A20" s="9" t="s">
        <v>71</v>
      </c>
      <c r="B20" t="s">
        <v>46</v>
      </c>
      <c r="C20" t="s">
        <v>47</v>
      </c>
      <c r="D20" t="s">
        <v>72</v>
      </c>
      <c r="E20" t="s">
        <v>73</v>
      </c>
      <c r="F20" s="12">
        <v>0.01</v>
      </c>
      <c r="H20">
        <v>1</v>
      </c>
      <c r="I20" s="19">
        <v>0.08</v>
      </c>
    </row>
    <row r="21" spans="1:9">
      <c r="A21" s="9" t="s">
        <v>74</v>
      </c>
      <c r="B21" t="s">
        <v>54</v>
      </c>
      <c r="C21" t="s">
        <v>31</v>
      </c>
      <c r="D21" t="s">
        <v>75</v>
      </c>
      <c r="E21" t="s">
        <v>76</v>
      </c>
      <c r="F21" s="12">
        <v>0.1</v>
      </c>
      <c r="G21" t="s">
        <v>35</v>
      </c>
      <c r="H21">
        <v>1</v>
      </c>
      <c r="I21" s="19">
        <v>1.01</v>
      </c>
    </row>
    <row r="22" spans="1:9">
      <c r="A22" s="30"/>
      <c r="B22" s="31"/>
      <c r="C22" s="31"/>
      <c r="D22" s="31"/>
      <c r="E22" s="31"/>
      <c r="F22" s="31"/>
      <c r="G22" s="31"/>
      <c r="H22" s="31"/>
      <c r="I22" s="32"/>
    </row>
    <row r="23" spans="1:9">
      <c r="A23" s="29" t="s">
        <v>77</v>
      </c>
      <c r="I23" s="19"/>
    </row>
    <row r="24" spans="1:9">
      <c r="A24" s="18" t="s">
        <v>78</v>
      </c>
      <c r="B24" t="s">
        <v>79</v>
      </c>
      <c r="C24" t="s">
        <v>47</v>
      </c>
      <c r="D24" t="s">
        <v>80</v>
      </c>
      <c r="E24" t="s">
        <v>81</v>
      </c>
      <c r="F24" s="17">
        <v>1E-3</v>
      </c>
      <c r="H24">
        <v>1</v>
      </c>
      <c r="I24" s="19">
        <v>0.2</v>
      </c>
    </row>
    <row r="25" spans="1:9">
      <c r="A25" s="9" t="s">
        <v>82</v>
      </c>
      <c r="B25" t="s">
        <v>83</v>
      </c>
      <c r="C25" t="s">
        <v>47</v>
      </c>
      <c r="D25" t="s">
        <v>84</v>
      </c>
      <c r="E25" t="s">
        <v>85</v>
      </c>
      <c r="F25" s="12">
        <v>0.01</v>
      </c>
      <c r="H25">
        <v>1</v>
      </c>
      <c r="I25" s="19">
        <v>0.2</v>
      </c>
    </row>
    <row r="26" spans="1:9">
      <c r="A26" s="30"/>
      <c r="B26" s="31"/>
      <c r="C26" s="31"/>
      <c r="D26" s="31"/>
      <c r="E26" s="31"/>
      <c r="F26" s="31"/>
      <c r="G26" s="31"/>
      <c r="H26" s="31"/>
      <c r="I26" s="32"/>
    </row>
    <row r="27" spans="1:9">
      <c r="A27" s="16" t="s">
        <v>86</v>
      </c>
      <c r="I27" s="19"/>
    </row>
    <row r="28" spans="1:9">
      <c r="A28" s="33" t="s">
        <v>87</v>
      </c>
      <c r="B28" t="s">
        <v>79</v>
      </c>
      <c r="C28" t="s">
        <v>47</v>
      </c>
      <c r="D28" t="s">
        <v>88</v>
      </c>
      <c r="E28" t="s">
        <v>89</v>
      </c>
      <c r="F28" s="17">
        <v>1E-3</v>
      </c>
      <c r="H28">
        <v>1</v>
      </c>
      <c r="I28" s="19">
        <v>0.2</v>
      </c>
    </row>
    <row r="29" spans="1:9">
      <c r="A29" s="9" t="s">
        <v>82</v>
      </c>
      <c r="B29" t="s">
        <v>83</v>
      </c>
      <c r="C29" t="s">
        <v>47</v>
      </c>
      <c r="D29" t="s">
        <v>90</v>
      </c>
      <c r="E29" t="s">
        <v>85</v>
      </c>
      <c r="F29" s="17">
        <v>0.01</v>
      </c>
      <c r="H29">
        <v>1</v>
      </c>
      <c r="I29" s="19">
        <v>0.2</v>
      </c>
    </row>
    <row r="30" spans="1:9">
      <c r="A30" s="30"/>
      <c r="B30" s="31"/>
      <c r="C30" s="31"/>
      <c r="D30" s="31"/>
      <c r="E30" s="31"/>
      <c r="F30" s="31"/>
      <c r="G30" s="31"/>
      <c r="H30" s="31"/>
      <c r="I30" s="32"/>
    </row>
    <row r="31" spans="1:9">
      <c r="A31" s="16" t="s">
        <v>17</v>
      </c>
      <c r="I31" s="19"/>
    </row>
    <row r="32" spans="1:9">
      <c r="A32" s="15" t="s">
        <v>91</v>
      </c>
      <c r="B32" t="s">
        <v>92</v>
      </c>
      <c r="C32" t="s">
        <v>31</v>
      </c>
      <c r="D32" t="s">
        <v>93</v>
      </c>
      <c r="E32" t="s">
        <v>94</v>
      </c>
      <c r="F32" s="12">
        <v>0.1</v>
      </c>
      <c r="G32" t="s">
        <v>35</v>
      </c>
      <c r="H32">
        <v>8</v>
      </c>
      <c r="I32" s="19">
        <v>0.16</v>
      </c>
    </row>
    <row r="33" spans="1:9">
      <c r="A33" s="30"/>
      <c r="B33" s="31"/>
      <c r="C33" s="31"/>
      <c r="D33" s="31"/>
      <c r="E33" s="31"/>
      <c r="F33" s="31"/>
      <c r="G33" s="31"/>
      <c r="H33" s="31"/>
      <c r="I33" s="32"/>
    </row>
    <row r="34" spans="1:9">
      <c r="A34" s="16" t="s">
        <v>22</v>
      </c>
      <c r="I34" s="19"/>
    </row>
    <row r="35" spans="1:9">
      <c r="A35" s="15" t="s">
        <v>95</v>
      </c>
      <c r="B35" t="s">
        <v>96</v>
      </c>
      <c r="C35" t="s">
        <v>97</v>
      </c>
      <c r="D35" t="s">
        <v>98</v>
      </c>
      <c r="E35" t="s">
        <v>99</v>
      </c>
      <c r="F35" s="12">
        <v>0.05</v>
      </c>
      <c r="H35">
        <v>2</v>
      </c>
      <c r="I35" s="19">
        <v>0.1</v>
      </c>
    </row>
    <row r="36" spans="1:9">
      <c r="A36" s="15" t="s">
        <v>36</v>
      </c>
      <c r="B36" t="s">
        <v>100</v>
      </c>
      <c r="C36" t="s">
        <v>31</v>
      </c>
      <c r="D36" t="s">
        <v>38</v>
      </c>
      <c r="E36" t="s">
        <v>39</v>
      </c>
      <c r="F36" s="12">
        <v>0.05</v>
      </c>
      <c r="G36" t="s">
        <v>35</v>
      </c>
      <c r="H36">
        <v>1</v>
      </c>
      <c r="I36" s="19">
        <v>0.17</v>
      </c>
    </row>
    <row r="37" spans="1:9">
      <c r="A37" s="15" t="s">
        <v>101</v>
      </c>
      <c r="B37" t="s">
        <v>102</v>
      </c>
      <c r="C37" t="s">
        <v>31</v>
      </c>
      <c r="D37" t="s">
        <v>103</v>
      </c>
      <c r="E37" t="s">
        <v>104</v>
      </c>
      <c r="F37" s="12">
        <v>0.1</v>
      </c>
      <c r="G37" t="s">
        <v>35</v>
      </c>
      <c r="H37">
        <v>1</v>
      </c>
      <c r="I37" s="19">
        <v>0.14000000000000001</v>
      </c>
    </row>
    <row r="38" spans="1:9" ht="15.75" thickBot="1">
      <c r="I38" s="19"/>
    </row>
    <row r="39" spans="1:9" ht="15.75" thickBot="1">
      <c r="I39" s="35">
        <f>SUM(I2:I5,I8:I13,I16:I21,I24:I25,I28:I29,I32,I35:I37)</f>
        <v>12.527999999999997</v>
      </c>
    </row>
    <row r="40" spans="1:9">
      <c r="I40" s="19"/>
    </row>
    <row r="41" spans="1:9">
      <c r="I41" s="19"/>
    </row>
    <row r="42" spans="1:9">
      <c r="I42" s="19"/>
    </row>
    <row r="43" spans="1:9">
      <c r="I43" s="19"/>
    </row>
    <row r="44" spans="1:9">
      <c r="I44" s="19"/>
    </row>
    <row r="45" spans="1:9">
      <c r="I45" s="19"/>
    </row>
    <row r="46" spans="1:9">
      <c r="I46" s="19"/>
    </row>
    <row r="47" spans="1:9">
      <c r="I47" s="19"/>
    </row>
    <row r="48" spans="1:9">
      <c r="I48" s="19"/>
    </row>
    <row r="49" spans="9:9">
      <c r="I49" s="19"/>
    </row>
    <row r="50" spans="9:9">
      <c r="I50" s="19"/>
    </row>
    <row r="51" spans="9:9">
      <c r="I51" s="19"/>
    </row>
    <row r="52" spans="9:9">
      <c r="I52" s="19"/>
    </row>
    <row r="53" spans="9:9">
      <c r="I53" s="19"/>
    </row>
    <row r="54" spans="9:9">
      <c r="I54" s="19"/>
    </row>
    <row r="55" spans="9:9">
      <c r="I55" s="19"/>
    </row>
    <row r="56" spans="9:9">
      <c r="I56" s="19"/>
    </row>
    <row r="57" spans="9:9">
      <c r="I57" s="19"/>
    </row>
    <row r="58" spans="9:9">
      <c r="I58" s="19"/>
    </row>
    <row r="59" spans="9:9">
      <c r="I59" s="19"/>
    </row>
    <row r="60" spans="9:9">
      <c r="I60" s="19"/>
    </row>
    <row r="61" spans="9:9">
      <c r="I61" s="19"/>
    </row>
    <row r="62" spans="9:9">
      <c r="I62" s="19"/>
    </row>
    <row r="63" spans="9:9">
      <c r="I63" s="19"/>
    </row>
    <row r="64" spans="9:9">
      <c r="I64" s="19"/>
    </row>
    <row r="65" spans="9:9">
      <c r="I65" s="19"/>
    </row>
    <row r="66" spans="9:9">
      <c r="I66" s="19"/>
    </row>
    <row r="67" spans="9:9">
      <c r="I67" s="19"/>
    </row>
    <row r="68" spans="9:9">
      <c r="I68" s="19"/>
    </row>
    <row r="69" spans="9:9">
      <c r="I69" s="19"/>
    </row>
    <row r="70" spans="9:9">
      <c r="I70" s="19"/>
    </row>
    <row r="71" spans="9:9">
      <c r="I71" s="19"/>
    </row>
    <row r="72" spans="9:9">
      <c r="I72" s="19"/>
    </row>
    <row r="73" spans="9:9">
      <c r="I73" s="19"/>
    </row>
    <row r="74" spans="9:9">
      <c r="I74" s="19"/>
    </row>
    <row r="75" spans="9:9">
      <c r="I75" s="19"/>
    </row>
    <row r="76" spans="9:9">
      <c r="I76" s="19"/>
    </row>
    <row r="77" spans="9:9">
      <c r="I77" s="19"/>
    </row>
    <row r="78" spans="9:9">
      <c r="I78" s="19"/>
    </row>
    <row r="79" spans="9:9">
      <c r="I79" s="19"/>
    </row>
    <row r="80" spans="9:9">
      <c r="I80" s="19"/>
    </row>
    <row r="81" spans="9:9">
      <c r="I81" s="19"/>
    </row>
    <row r="82" spans="9:9">
      <c r="I82" s="19"/>
    </row>
    <row r="83" spans="9:9">
      <c r="I83" s="19"/>
    </row>
    <row r="84" spans="9:9">
      <c r="I84" s="19"/>
    </row>
    <row r="85" spans="9:9">
      <c r="I85" s="19"/>
    </row>
    <row r="86" spans="9:9">
      <c r="I86" s="19"/>
    </row>
    <row r="87" spans="9:9">
      <c r="I87" s="19"/>
    </row>
    <row r="88" spans="9:9">
      <c r="I88" s="19"/>
    </row>
    <row r="89" spans="9:9">
      <c r="I89" s="19"/>
    </row>
    <row r="90" spans="9:9">
      <c r="I90" s="19"/>
    </row>
    <row r="91" spans="9:9">
      <c r="I91" s="19"/>
    </row>
    <row r="92" spans="9:9">
      <c r="I92" s="19"/>
    </row>
    <row r="93" spans="9:9">
      <c r="I93" s="19"/>
    </row>
    <row r="94" spans="9:9">
      <c r="I94" s="19"/>
    </row>
    <row r="95" spans="9:9">
      <c r="I95" s="19"/>
    </row>
    <row r="96" spans="9:9">
      <c r="I96" s="19"/>
    </row>
    <row r="97" spans="9:9">
      <c r="I97" s="19"/>
    </row>
  </sheetData>
  <hyperlinks>
    <hyperlink ref="A2" r:id="rId1" xr:uid="{D1CA4CBD-F9C9-4858-9A5C-D2663275606A}"/>
    <hyperlink ref="A9" r:id="rId2" xr:uid="{EB90B21D-652E-4420-8D25-C652084F30DC}"/>
    <hyperlink ref="A10" r:id="rId3" xr:uid="{0B098561-8B2C-4B87-AF06-0AD7AE2B0175}"/>
    <hyperlink ref="A11" r:id="rId4" xr:uid="{A3163076-7C3A-449A-B2B8-A2BF2BC08EC2}"/>
    <hyperlink ref="A12" r:id="rId5" xr:uid="{B46C5F63-0D96-4214-B02B-441F38822EAE}"/>
    <hyperlink ref="A13" r:id="rId6" xr:uid="{7EC9B9EC-CBD7-4806-BF24-D5EBCF18F08F}"/>
    <hyperlink ref="A18" r:id="rId7" xr:uid="{00E16082-2517-49E0-88F8-B89BDF6D633F}"/>
    <hyperlink ref="A24" r:id="rId8" xr:uid="{46874DB3-3F78-4462-84E3-E9D8181BC584}"/>
    <hyperlink ref="A23" r:id="rId9" display="LDO_MCU" xr:uid="{64BB7E47-D07C-43B3-B322-64FBE8E0293D}"/>
    <hyperlink ref="A3" r:id="rId10" xr:uid="{4B7096FE-28FC-4DF9-BA8D-DC412986A66D}"/>
    <hyperlink ref="A8" r:id="rId11" xr:uid="{74F78799-400B-4185-8CCA-051B9314D883}"/>
    <hyperlink ref="A25" r:id="rId12" display="https://www.mouser.it/ProductDetail/Vishay/CRCW040210K0FHEDP?qs=sGAEpiMZZMtlubZbdhIBIIjtErb0OzfHXC2ctQbbyhM%3D" xr:uid="{9EFFDF85-B8F2-468B-BB5A-2480D21A2263}"/>
    <hyperlink ref="A29" r:id="rId13" display="https://www.mouser.it/ProductDetail/Vishay/CRCW040210K0FHEDP?qs=sGAEpiMZZMtlubZbdhIBIIjtErb0OzfHXC2ctQbbyhM%3D" xr:uid="{1D8597FE-4882-4F07-93E8-8892EFDB6F93}"/>
    <hyperlink ref="A28" r:id="rId14" xr:uid="{091D31E7-E262-4696-9648-218F362515D9}"/>
    <hyperlink ref="A32" r:id="rId15" xr:uid="{3951FF04-9988-40B4-BB61-37DC6001347A}"/>
    <hyperlink ref="A21" r:id="rId16" xr:uid="{AB5CFB09-5A8B-4594-A02B-2118493BFEE2}"/>
    <hyperlink ref="A17" r:id="rId17" xr:uid="{F52667C8-1F15-42A5-8687-98E661FB09AD}"/>
    <hyperlink ref="A19" r:id="rId18" xr:uid="{8FAF1EF0-7BF8-477D-ACC4-B1CB1DFF7E38}"/>
    <hyperlink ref="A20" r:id="rId19" xr:uid="{BE1D786C-BD36-43A9-84C5-93D7EDE4C8F9}"/>
    <hyperlink ref="A16" r:id="rId20" xr:uid="{D3D95ED8-83A0-4AB7-93D9-2660B118F724}"/>
    <hyperlink ref="A4" r:id="rId21" xr:uid="{CC78BE6F-FAB0-4622-8609-C82A94A1C09B}"/>
    <hyperlink ref="A35" r:id="rId22" xr:uid="{CB8D66B6-3C46-4E83-BCE4-995F6F5158E6}"/>
    <hyperlink ref="A36" r:id="rId23" xr:uid="{FEDCD690-2983-4C83-9AE6-608A465761C2}"/>
    <hyperlink ref="A37" r:id="rId24" xr:uid="{EC669340-0BD5-4C32-A298-C5E55E5265BC}"/>
    <hyperlink ref="A5" r:id="rId25" xr:uid="{0A288C9E-6FEF-429D-A592-BCB35984DA5D}"/>
    <hyperlink ref="J5" r:id="rId26" xr:uid="{2F909818-A241-47D8-A78D-FC4074542209}"/>
    <hyperlink ref="J2" r:id="rId27" xr:uid="{87F5BD53-C0E1-4FEA-BD13-1D0860060CD3}"/>
  </hyperlinks>
  <pageMargins left="0.7" right="0.7" top="0.75" bottom="0.75" header="0.3" footer="0.3"/>
  <pageSetup paperSize="9" fitToHeight="0"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CAPONE</cp:lastModifiedBy>
  <cp:revision/>
  <dcterms:created xsi:type="dcterms:W3CDTF">2025-12-10T10:41:55Z</dcterms:created>
  <dcterms:modified xsi:type="dcterms:W3CDTF">2026-04-21T16:24:26Z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2025-12-15T08:37:49Z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91fb13de-c149-4996-9b8a-7f9d6e0f9840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
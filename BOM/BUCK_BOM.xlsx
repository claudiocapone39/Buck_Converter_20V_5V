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claudio_capone_studenti_unina_it/Documents/DECS/FINAL PROJECT/BUCK/"/>
    </mc:Choice>
  </mc:AlternateContent>
  <xr:revisionPtr revIDLastSave="366" documentId="11_5C5755BF84DCCEC36C3E1A399931F45B2A7E2811" xr6:coauthVersionLast="47" xr6:coauthVersionMax="47" xr10:uidLastSave="{464EAB78-8500-4848-8164-737C0F3DE2EF}"/>
  <bookViews>
    <workbookView xWindow="5160" yWindow="3585" windowWidth="21600" windowHeight="11295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A11" i="1"/>
  <c r="A3" i="1"/>
  <c r="A5" i="1"/>
  <c r="A6" i="1"/>
  <c r="A4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tc={83EC7FC0-C1E8-41F0-996D-62004F9BBE32}</author>
  </authors>
  <commentList>
    <comment ref="A8" authorId="0" shapeId="0" xr:uid="{83EC7FC0-C1E8-41F0-996D-62004F9BBE32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va bene perché ha un DT troppo elevato</t>
      </text>
    </comment>
  </commentList>
</comments>
</file>

<file path=xl/sharedStrings.xml><?xml version="1.0" encoding="utf-8"?>
<sst xmlns="http://schemas.openxmlformats.org/spreadsheetml/2006/main" count="54" uniqueCount="44">
  <si>
    <t>PART NUMBER</t>
  </si>
  <si>
    <t>INFO</t>
  </si>
  <si>
    <t>CATEGORY</t>
  </si>
  <si>
    <t>VALUE</t>
  </si>
  <si>
    <t>TOLLERANCE</t>
  </si>
  <si>
    <t>R</t>
  </si>
  <si>
    <t>MATERIAL</t>
  </si>
  <si>
    <t>QUANTITY</t>
  </si>
  <si>
    <t>SELLER</t>
  </si>
  <si>
    <t>PRICE</t>
  </si>
  <si>
    <t>Power inductor</t>
  </si>
  <si>
    <t>INDUCTOR</t>
  </si>
  <si>
    <t>L=10uH</t>
  </si>
  <si>
    <t>NA</t>
  </si>
  <si>
    <t>20.7 mΩ</t>
  </si>
  <si>
    <t>Ferite Core</t>
  </si>
  <si>
    <t>Mouser</t>
  </si>
  <si>
    <t>Switching Mosfet</t>
  </si>
  <si>
    <t>MOSFET</t>
  </si>
  <si>
    <t>Id=6.5 A, Vds=60V</t>
  </si>
  <si>
    <t>N.A.</t>
  </si>
  <si>
    <t>37mΩ</t>
  </si>
  <si>
    <t>Silicon</t>
  </si>
  <si>
    <t>Output Capacitor</t>
  </si>
  <si>
    <t>CAPACITOR</t>
  </si>
  <si>
    <t>C=20 uF</t>
  </si>
  <si>
    <t>low ESR</t>
  </si>
  <si>
    <t>Ceramic</t>
  </si>
  <si>
    <t>Input Capacitor</t>
  </si>
  <si>
    <t>C=4.7uF</t>
  </si>
  <si>
    <t>0.1 pF</t>
  </si>
  <si>
    <t>C=33uF</t>
  </si>
  <si>
    <t>24mΩ</t>
  </si>
  <si>
    <t>Alluminum Electrolytic</t>
  </si>
  <si>
    <t>TE 282834-2</t>
  </si>
  <si>
    <t>Morsettiera 2 pin</t>
  </si>
  <si>
    <t>CONNECTOR</t>
  </si>
  <si>
    <t>Vmax=150V, Imax=10A</t>
  </si>
  <si>
    <t>RS</t>
  </si>
  <si>
    <t>Schottky Diode</t>
  </si>
  <si>
    <t>DIODE</t>
  </si>
  <si>
    <t>Vrrm=40V, If=5A, Vf=474mV</t>
  </si>
  <si>
    <t>Note: diode for asynchronous buck</t>
  </si>
  <si>
    <t>https://it.rs-online.com/web/p/morsetti-pcb/7100104?cm_mmc=aff2-_-it-_-octopart-_-7100104-_-instock&amp;gad_source=7&amp;gad_campaignid=14989544798&amp;dclid=CNWBxf6OwpEDFblwHQkdBSQaHg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</si>
</sst>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;[Red]\-#,##0\ &quot;€&quot;"/>
    <numFmt numFmtId="165" formatCode="_-* #,##0.00\ [$€-410]_-;\-* #,##0.00\ [$€-410]_-;_-* &quot;-&quot;??\ [$€-410]_-;_-@_-"/>
  </numFmts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trike/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4" fillId="0" borderId="0" xfId="1" applyFont="1" applyAlignment="1">
      <alignment horizontal="left" vertical="top" wrapText="1"/>
    </xf>
    <xf numFmtId="0" fontId="0" fillId="0" borderId="0" xfId="0" applyAlignment="1">
      <alignment horizontal="left" vertical="top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1" fillId="0" borderId="0" xfId="1" applyAlignment="1">
      <alignment horizontal="left"/>
    </xf>
    <xf numFmtId="0" fontId="1" fillId="0" borderId="0" xfId="1" applyAlignment="1">
      <alignment horizontal="left" vertical="top" wrapText="1"/>
    </xf>
    <xf numFmtId="0" fontId="1" fillId="0" borderId="0" xfId="1" applyAlignment="1">
      <alignment horizontal="left" vertical="top"/>
    </xf>
    <xf numFmtId="0" fontId="0" fillId="0" borderId="0" xfId="0" applyAlignment="1">
      <alignment horizontal="center"/>
    </xf>
    <xf numFmtId="9" fontId="0" fillId="0" borderId="0" xfId="0" applyNumberFormat="1"/>
    <xf numFmtId="0" fontId="1" fillId="0" borderId="0" xfId="1"/>
    <xf numFmtId="165" fontId="0" fillId="0" borderId="0" xfId="0" applyNumberFormat="1"/>
    <xf numFmtId="165" fontId="0" fillId="0" borderId="0" xfId="0" applyNumberFormat="1" applyAlignment="1">
      <alignment horizontal="left"/>
    </xf>
    <xf numFmtId="165" fontId="5" fillId="0" borderId="0" xfId="1" applyNumberFormat="1" applyFont="1" applyAlignment="1">
      <alignment horizontal="left"/>
    </xf>
    <xf numFmtId="0" fontId="6" fillId="0" borderId="0" xfId="1" applyFont="1"/>
    <xf numFmtId="0" fontId="7" fillId="0" borderId="0" xfId="0" applyFont="1"/>
    <xf numFmtId="0" fontId="7" fillId="0" borderId="0" xfId="0" applyFont="1" applyAlignment="1">
      <alignment horizontal="center"/>
    </xf>
    <xf numFmtId="164" fontId="7" fillId="0" borderId="0" xfId="0" applyNumberFormat="1" applyFont="1"/>
    <xf numFmtId="0" fontId="1" fillId="0" borderId="0" xfId="1" applyAlignment="1">
      <alignment wrapText="1"/>
    </xf>
    <xf numFmtId="165" fontId="0" fillId="0" borderId="4" xfId="0" applyNumberFormat="1" applyBorder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LAUDIO CAPONE" id="{3004F71F-D881-4556-A005-A5E36DC3C8CE}" userId="S::claudio.capone@studenti.unina.it::b394197f-cd53-4ffe-a094-d0471b04778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" dT="2025-12-06T21:17:39.76" personId="{3004F71F-D881-4556-A005-A5E36DC3C8CE}" id="{83EC7FC0-C1E8-41F0-996D-62004F9BBE32}">
    <text>Non va bene perché ha un DT troppo elevato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.rs-online.com/web/p/morsetti-pcb/7100104?cm_mmc=aff2-_-it-_-octopart-_-7100104-_-instock&amp;gad_source=7&amp;gad_campaignid=14989544798&amp;dclid=CNWBxf6OwpEDFblwHQkdBSQaHg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it.rs-online.com/web/p/morsetti-pcb/7100104?cm_mmc=aff2-_-it-_-octopart-_-7100104-_-instock&amp;gad_source=7&amp;gad_campaignid=14989544798&amp;dclid=CNWBxf6OwpEDFblwHQkdBSQaHg" TargetMode="External"/><Relationship Id="rId1" Type="http://schemas.openxmlformats.org/officeDocument/2006/relationships/hyperlink" Target="https://www.mouser.it/ProductDetail/EPCOS-TDK/B82559B7103A016?qs=hWgE7mdIu5T7T698J9srCw%3D%3D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3"/>
  <sheetViews>
    <sheetView tabSelected="1" workbookViewId="0">
      <selection activeCell="A11" sqref="A11"/>
    </sheetView>
  </sheetViews>
  <sheetFormatPr defaultRowHeight="15"/>
  <cols>
    <col min="1" max="1" width="24" customWidth="1"/>
    <col min="2" max="2" width="16.140625" customWidth="1"/>
    <col min="3" max="3" width="19.28515625" customWidth="1"/>
    <col min="4" max="4" width="21" customWidth="1"/>
    <col min="5" max="5" width="8" customWidth="1"/>
    <col min="6" max="6" width="10.85546875" customWidth="1"/>
    <col min="7" max="7" width="20.28515625" customWidth="1"/>
    <col min="8" max="8" width="10.85546875" customWidth="1"/>
    <col min="9" max="9" width="9.42578125" customWidth="1"/>
    <col min="10" max="10" width="10.140625" customWidth="1"/>
    <col min="11" max="11" width="13.42578125" customWidth="1"/>
  </cols>
  <sheetData>
    <row r="1" spans="1:11">
      <c r="A1" s="6" t="s">
        <v>0</v>
      </c>
      <c r="B1" s="7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9" t="s">
        <v>8</v>
      </c>
      <c r="J1" s="9" t="s">
        <v>9</v>
      </c>
    </row>
    <row r="2" spans="1:11">
      <c r="A2" s="11" t="str">
        <f>HYPERLINK("https://www.mouser.it/ProductDetail/Wurth-Elektronik/7443331000?qs=MVRUG6Lt7nGXpFgqzII7cw%3D%3D","744331000")</f>
        <v>744331000</v>
      </c>
      <c r="B2" s="3" t="s">
        <v>10</v>
      </c>
      <c r="C2" s="2" t="s">
        <v>11</v>
      </c>
      <c r="D2" s="3" t="s">
        <v>12</v>
      </c>
      <c r="E2" s="4" t="s">
        <v>13</v>
      </c>
      <c r="F2" s="5" t="s">
        <v>14</v>
      </c>
      <c r="G2" s="3" t="s">
        <v>15</v>
      </c>
      <c r="H2" s="1">
        <v>1</v>
      </c>
      <c r="I2" s="3" t="s">
        <v>16</v>
      </c>
      <c r="J2" s="18">
        <v>3.61</v>
      </c>
    </row>
    <row r="3" spans="1:11">
      <c r="A3" s="10" t="str">
        <f>HYPERLINK("https://www.mouser.it/ProductDetail/ROHM-Semiconductor/RSS065N06HZGTB?qs=XAiT9M5g4x%252BYRKVmXrwbMA%3D%3D","RSS065N06HZGTB")</f>
        <v>RSS065N06HZGTB</v>
      </c>
      <c r="B3" s="3" t="s">
        <v>17</v>
      </c>
      <c r="C3" s="3" t="s">
        <v>18</v>
      </c>
      <c r="D3" s="3" t="s">
        <v>19</v>
      </c>
      <c r="E3" s="5" t="s">
        <v>20</v>
      </c>
      <c r="F3" s="5" t="s">
        <v>21</v>
      </c>
      <c r="G3" s="3" t="s">
        <v>22</v>
      </c>
      <c r="H3" s="1">
        <v>2</v>
      </c>
      <c r="I3" s="3" t="s">
        <v>16</v>
      </c>
      <c r="J3" s="17">
        <v>1.78</v>
      </c>
    </row>
    <row r="4" spans="1:11">
      <c r="A4" s="11" t="str">
        <f>HYPERLINK("https://www.mouser.it/ProductDetail/KEMET/C1812C206K3RLCAUTO?qs=W%2FMpXkg%252BdQ4s7ay3ZQXJwQ%3D%3D","C1812C206K3RLCAUTO")</f>
        <v>C1812C206K3RLCAUTO</v>
      </c>
      <c r="B4" s="3" t="s">
        <v>23</v>
      </c>
      <c r="C4" s="3" t="s">
        <v>24</v>
      </c>
      <c r="D4" s="3" t="s">
        <v>25</v>
      </c>
      <c r="E4" s="4">
        <v>0.1</v>
      </c>
      <c r="F4" s="5" t="s">
        <v>26</v>
      </c>
      <c r="G4" s="3" t="s">
        <v>27</v>
      </c>
      <c r="H4" s="1">
        <v>2</v>
      </c>
      <c r="I4" s="3" t="s">
        <v>16</v>
      </c>
      <c r="J4" s="17">
        <v>3.95</v>
      </c>
    </row>
    <row r="5" spans="1:11">
      <c r="A5" s="11" t="str">
        <f>HYPERLINK("https://www.mouser.it/ProductDetail/KEMET/C1812J475K5RACAUTO?qs=1Kr7Jg1SGW%252B18uJQlTRv8w%3D%3D","C1812J475K5RACAUTO")</f>
        <v>C1812J475K5RACAUTO</v>
      </c>
      <c r="B5" s="3" t="s">
        <v>28</v>
      </c>
      <c r="C5" s="3" t="s">
        <v>24</v>
      </c>
      <c r="D5" s="3" t="s">
        <v>29</v>
      </c>
      <c r="E5" s="4" t="s">
        <v>30</v>
      </c>
      <c r="F5" s="5" t="s">
        <v>26</v>
      </c>
      <c r="G5" s="3" t="s">
        <v>27</v>
      </c>
      <c r="H5" s="1">
        <v>1</v>
      </c>
      <c r="I5" s="3" t="s">
        <v>16</v>
      </c>
      <c r="J5" s="17">
        <v>1.47</v>
      </c>
    </row>
    <row r="6" spans="1:11">
      <c r="A6" s="12" t="str">
        <f>HYPERLINK("https://www.mouser.it/ProductDetail/Wurth-Elektronik/870235675002?qs=sGAEpiMZZMvwFf0viD3Y3fHxNcSaiftwq7FNPEdby7%2FROBglO28IlQ%3D%3D","870235675002")</f>
        <v>870235675002</v>
      </c>
      <c r="B6" s="3" t="s">
        <v>28</v>
      </c>
      <c r="C6" s="3" t="s">
        <v>24</v>
      </c>
      <c r="D6" s="3" t="s">
        <v>31</v>
      </c>
      <c r="E6" s="4">
        <v>0.2</v>
      </c>
      <c r="F6" s="5" t="s">
        <v>32</v>
      </c>
      <c r="G6" s="3" t="s">
        <v>33</v>
      </c>
      <c r="H6" s="1">
        <v>1</v>
      </c>
      <c r="I6" s="3" t="s">
        <v>16</v>
      </c>
      <c r="J6" s="17">
        <v>1.08</v>
      </c>
    </row>
    <row r="7" spans="1:11">
      <c r="A7" s="23" t="s">
        <v>34</v>
      </c>
      <c r="B7" t="s">
        <v>35</v>
      </c>
      <c r="C7" s="3" t="s">
        <v>36</v>
      </c>
      <c r="D7" t="s">
        <v>37</v>
      </c>
      <c r="H7" s="13">
        <v>2</v>
      </c>
      <c r="I7" s="5" t="s">
        <v>38</v>
      </c>
      <c r="J7" s="17">
        <v>2.6</v>
      </c>
    </row>
    <row r="8" spans="1:11">
      <c r="A8" s="19"/>
      <c r="B8" s="20"/>
      <c r="C8" s="20"/>
      <c r="D8" s="20"/>
      <c r="E8" s="20"/>
      <c r="F8" s="20"/>
      <c r="G8" s="20"/>
      <c r="H8" s="21"/>
      <c r="I8" s="20"/>
      <c r="J8" s="22"/>
    </row>
    <row r="9" spans="1:11">
      <c r="A9" s="15"/>
      <c r="C9" s="3"/>
      <c r="H9" s="13"/>
      <c r="J9" s="24">
        <f>SUM(J2:J7)</f>
        <v>14.49</v>
      </c>
    </row>
    <row r="10" spans="1:11">
      <c r="A10" s="11"/>
      <c r="B10" s="3"/>
      <c r="C10" s="3"/>
      <c r="D10" s="3"/>
      <c r="E10" s="4"/>
      <c r="F10" s="5"/>
      <c r="G10" s="3"/>
      <c r="H10" s="1"/>
      <c r="I10" s="1"/>
      <c r="J10" s="5"/>
    </row>
    <row r="11" spans="1:11">
      <c r="A11" s="15" t="str">
        <f>HYPERLINK("https://www.mouser.it/ProductDetail/onsemi-Fairchild/FSV540?qs=bY1dm4K8r4Uyd0P0StXc%2FQ%3D%3D","FSV540")</f>
        <v>FSV540</v>
      </c>
      <c r="B11" t="s">
        <v>39</v>
      </c>
      <c r="C11" t="s">
        <v>40</v>
      </c>
      <c r="D11" t="s">
        <v>41</v>
      </c>
      <c r="H11" s="13">
        <v>1</v>
      </c>
      <c r="I11" s="5" t="s">
        <v>16</v>
      </c>
      <c r="J11" s="16">
        <v>0.59299999999999997</v>
      </c>
      <c r="K11" t="s">
        <v>42</v>
      </c>
    </row>
    <row r="12" spans="1:11">
      <c r="A12" s="15" t="s">
        <v>43</v>
      </c>
    </row>
    <row r="13" spans="1:11">
      <c r="E13" s="14"/>
    </row>
  </sheetData>
  <hyperlinks>
    <hyperlink ref="A2" r:id="rId1" display="https://www.mouser.it/ProductDetail/EPCOS-TDK/B82559B7103A016?qs=hWgE7mdIu5T7T698J9srCw%3D%3D" xr:uid="{FD2C24EC-1B58-4E45-A102-8A5C81D526E7}"/>
    <hyperlink ref="A12" r:id="rId2" xr:uid="{CAF8EEE6-7483-4A6F-991A-7FFE0C7635E0}"/>
    <hyperlink ref="A7" r:id="rId3" xr:uid="{8A656027-AB76-44E7-9EFE-984EBE88A695}"/>
  </hyperlinks>
  <pageMargins left="0.7" right="0.7" top="0.75" bottom="0.75" header="0.3" footer="0.3"/>
  <pageSetup paperSize="11" fitToHeight="0" orientation="landscape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CLAUDIO CAPONE</cp:lastModifiedBy>
  <cp:revision/>
  <dcterms:created xsi:type="dcterms:W3CDTF">2025-12-02T08:24:23Z</dcterms:created>
  <dcterms:modified xsi:type="dcterms:W3CDTF">2026-05-01T17:15:16Z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2025-12-04T17:57:35Z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60ede4b5-e051-46a4-bdad-ab327fab87a3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